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senaij04\Downloads\"/>
    </mc:Choice>
  </mc:AlternateContent>
  <bookViews>
    <workbookView xWindow="0" yWindow="0" windowWidth="14370" windowHeight="11805" activeTab="1"/>
  </bookViews>
  <sheets>
    <sheet name="Questão 03 - 1" sheetId="8" r:id="rId1"/>
    <sheet name="Questão 04 - 2" sheetId="9" r:id="rId2"/>
    <sheet name="Questão 05 - 1 ponto" sheetId="10" r:id="rId3"/>
    <sheet name="Q 01 - 3 pontos" sheetId="11" r:id="rId4"/>
    <sheet name="Q 02 - 3 pontos" sheetId="12" r:id="rId5"/>
  </sheets>
  <definedNames>
    <definedName name="Categoria">#REF!</definedName>
  </definedNames>
  <calcPr calcId="162913"/>
  <extLst>
    <ext uri="GoogleSheetsCustomDataVersion1">
      <go:sheetsCustomData xmlns:go="http://customooxmlschemas.google.com/" r:id="rId9" roundtripDataSignature="AMtx7mgjWnbo8TCcmW7iVnBxtwa0Vcjn8w=="/>
    </ext>
  </extLst>
</workbook>
</file>

<file path=xl/calcChain.xml><?xml version="1.0" encoding="utf-8"?>
<calcChain xmlns="http://schemas.openxmlformats.org/spreadsheetml/2006/main">
  <c r="H22" i="11" l="1"/>
  <c r="H20" i="11"/>
  <c r="H19" i="11"/>
  <c r="H17" i="11"/>
  <c r="H16" i="11"/>
  <c r="H15" i="11"/>
  <c r="D27" i="12"/>
  <c r="D26" i="12"/>
  <c r="D25" i="12"/>
  <c r="D24" i="12"/>
  <c r="D23" i="12"/>
  <c r="D22" i="12"/>
  <c r="D21" i="12"/>
  <c r="D20" i="12" l="1"/>
  <c r="D19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4" i="12"/>
</calcChain>
</file>

<file path=xl/sharedStrings.xml><?xml version="1.0" encoding="utf-8"?>
<sst xmlns="http://schemas.openxmlformats.org/spreadsheetml/2006/main" count="264" uniqueCount="85">
  <si>
    <t>NOME</t>
  </si>
  <si>
    <t>F</t>
  </si>
  <si>
    <t>M</t>
  </si>
  <si>
    <t>A</t>
  </si>
  <si>
    <t>As teclas de atalho utilizadas para abrir uma nova guia do Google Chrome em um ambiente Windows são:</t>
  </si>
  <si>
    <t>&lt;Ctrl&gt;+a</t>
  </si>
  <si>
    <t>&lt;Ctrl&gt;+t</t>
  </si>
  <si>
    <t>&lt;Shift&gt;+a</t>
  </si>
  <si>
    <t>&lt;Shift&gt;+t</t>
  </si>
  <si>
    <t>&lt;Alt&gt;+a</t>
  </si>
  <si>
    <t>B</t>
  </si>
  <si>
    <t>C</t>
  </si>
  <si>
    <t>D</t>
  </si>
  <si>
    <t>E</t>
  </si>
  <si>
    <t>| | </t>
  </si>
  <si>
    <t>|</t>
  </si>
  <si>
    <t>&amp;&amp;</t>
  </si>
  <si>
    <t>&amp;</t>
  </si>
  <si>
    <t>++</t>
  </si>
  <si>
    <r>
      <t>Assinale a opção que apresenta um operador de concatenação de </t>
    </r>
    <r>
      <rPr>
        <b/>
        <i/>
        <sz val="11"/>
        <color rgb="FF343A40"/>
        <rFont val="Open Sans"/>
        <family val="2"/>
      </rPr>
      <t>strings</t>
    </r>
    <r>
      <rPr>
        <b/>
        <sz val="11"/>
        <color rgb="FF343A40"/>
        <rFont val="Open Sans"/>
        <family val="2"/>
      </rPr>
      <t> do Visual Basic.NET.</t>
    </r>
  </si>
  <si>
    <t>ERROR</t>
  </si>
  <si>
    <t>VERDADEIRO EM QUALQUER CÉLULA</t>
  </si>
  <si>
    <t xml:space="preserve">Em relação a VBA, qual é o valor retornado pelo código: 
a = 125 
b = 50
If((a+b)/2&gt;=50)
Range("A1") = "VERDADEIRO"
Else
Range("A1") = "FALSE"
EndIf
</t>
  </si>
  <si>
    <t>CIDADE</t>
  </si>
  <si>
    <t>SEXO</t>
  </si>
  <si>
    <t>IDADE</t>
  </si>
  <si>
    <t>PLANO.SAUDE</t>
  </si>
  <si>
    <t>ESTADO CIVIL</t>
  </si>
  <si>
    <t>PROFISSAO</t>
  </si>
  <si>
    <t>SALÁRIO</t>
  </si>
  <si>
    <t>ANA</t>
  </si>
  <si>
    <t>TEUTONIA</t>
  </si>
  <si>
    <t>UNIMED</t>
  </si>
  <si>
    <t>SOLTEIRO</t>
  </si>
  <si>
    <t>VENDEDOR</t>
  </si>
  <si>
    <t>MARIA</t>
  </si>
  <si>
    <t>LAJEADO</t>
  </si>
  <si>
    <t>FAMIT</t>
  </si>
  <si>
    <t>CASADO</t>
  </si>
  <si>
    <t>PROFESSOR</t>
  </si>
  <si>
    <t>PEDRO</t>
  </si>
  <si>
    <t>PEDREIRO</t>
  </si>
  <si>
    <t>ANTONIO</t>
  </si>
  <si>
    <t>JOAO</t>
  </si>
  <si>
    <t>MOTORISTA</t>
  </si>
  <si>
    <t>ANITA</t>
  </si>
  <si>
    <t>CONTABILISTA</t>
  </si>
  <si>
    <t>MARIETA</t>
  </si>
  <si>
    <t>CARLOS</t>
  </si>
  <si>
    <t>ESTRELA</t>
  </si>
  <si>
    <t>FERNANDO</t>
  </si>
  <si>
    <t>PATRICIA</t>
  </si>
  <si>
    <t>RESPONDA:</t>
  </si>
  <si>
    <t>1. Total de pessoas, sexo F, de Lajeado</t>
  </si>
  <si>
    <t>2. Total de pessoas, sexo F, de Lajeado, que tenham UNIMED e que são casadas</t>
  </si>
  <si>
    <t>3. Total de pessoas, casadas, sexo M, que ganham acima de 1500</t>
  </si>
  <si>
    <t>4. Soma do salário das pessoas, sexo F, de Lajeado</t>
  </si>
  <si>
    <t>5. Soma do salário das pessoas, Sexo F, de Lajeado, que tenham UNIMED e que são casadas</t>
  </si>
  <si>
    <t>6. Média salarial das pessoas, sexo F, casadas.</t>
  </si>
  <si>
    <t>VENDAS - 1º trimestre 2019</t>
  </si>
  <si>
    <t>Filial</t>
  </si>
  <si>
    <t>Mês</t>
  </si>
  <si>
    <t>Produto</t>
  </si>
  <si>
    <t>Quantidade</t>
  </si>
  <si>
    <t>Valor Unitário</t>
  </si>
  <si>
    <t>Valor Total</t>
  </si>
  <si>
    <t>Vila Mariana</t>
  </si>
  <si>
    <t>Janeiro</t>
  </si>
  <si>
    <t>Mesa para computador</t>
  </si>
  <si>
    <t>Mouse</t>
  </si>
  <si>
    <t>Brooklin</t>
  </si>
  <si>
    <t>Impressora</t>
  </si>
  <si>
    <t>Fevereiro</t>
  </si>
  <si>
    <t>Março</t>
  </si>
  <si>
    <t>Soma de quantidades:</t>
  </si>
  <si>
    <t>Soma Valor Total:</t>
  </si>
  <si>
    <t>Soma Valor Total Vila Mariana:</t>
  </si>
  <si>
    <t>Soma Valor Total Brooklin:</t>
  </si>
  <si>
    <t>Soma Valor Total Janeiro:</t>
  </si>
  <si>
    <t>Soma Valor Total Fevereiro:</t>
  </si>
  <si>
    <t>Soma Valor Total Março:</t>
  </si>
  <si>
    <t>Soma Valor Total Vila Mariana em Fevereiro:</t>
  </si>
  <si>
    <t>Soma Valor Total Brooklin em Janeiro:</t>
  </si>
  <si>
    <t>VERDADEIRO</t>
  </si>
  <si>
    <t>FALSO EM QUALQUER CÉLULA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</si>
</sst>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* #,##0_-;\-* #,##0_-;_-* &quot;-&quot;??_-;_-@_-"/>
    <numFmt numFmtId="166" formatCode="_-[$R$-416]\ * #,##0.00_-;\-[$R$-416]\ * #,##0.00_-;_-[$R$-416]\ * &quot;-&quot;??_-;_-@_-"/>
  </numFmts>
  <fonts count="1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343A40"/>
      <name val="Open Sans"/>
      <family val="2"/>
    </font>
    <font>
      <b/>
      <sz val="10"/>
      <color rgb="FF000000"/>
      <name val="Arial"/>
      <family val="2"/>
    </font>
    <font>
      <b/>
      <i/>
      <sz val="11"/>
      <color rgb="FF343A40"/>
      <name val="Open Sans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45">
    <xf numFmtId="0" fontId="0" fillId="0" borderId="0" xfId="0" applyFont="1" applyAlignment="1"/>
    <xf numFmtId="0" fontId="2" fillId="0" borderId="0" xfId="0" applyFont="1" applyAlignment="1"/>
    <xf numFmtId="0" fontId="4" fillId="0" borderId="0" xfId="0" applyFont="1" applyAlignment="1"/>
    <xf numFmtId="0" fontId="8" fillId="3" borderId="0" xfId="0" applyFont="1" applyFill="1"/>
    <xf numFmtId="0" fontId="0" fillId="0" borderId="1" xfId="0" applyBorder="1"/>
    <xf numFmtId="0" fontId="0" fillId="0" borderId="0" xfId="0"/>
    <xf numFmtId="165" fontId="0" fillId="0" borderId="0" xfId="3" applyNumberFormat="1" applyFont="1"/>
    <xf numFmtId="164" fontId="0" fillId="0" borderId="0" xfId="4" applyFont="1"/>
    <xf numFmtId="0" fontId="0" fillId="2" borderId="1" xfId="0" applyFill="1" applyBorder="1"/>
    <xf numFmtId="165" fontId="0" fillId="2" borderId="1" xfId="3" applyNumberFormat="1" applyFont="1" applyFill="1" applyBorder="1"/>
    <xf numFmtId="164" fontId="0" fillId="2" borderId="1" xfId="4" applyFont="1" applyFill="1" applyBorder="1"/>
    <xf numFmtId="165" fontId="0" fillId="0" borderId="1" xfId="3" applyNumberFormat="1" applyFont="1" applyBorder="1"/>
    <xf numFmtId="164" fontId="0" fillId="0" borderId="1" xfId="4" applyFont="1" applyBorder="1"/>
    <xf numFmtId="0" fontId="7" fillId="2" borderId="1" xfId="0" applyFont="1" applyFill="1" applyBorder="1"/>
    <xf numFmtId="165" fontId="0" fillId="0" borderId="1" xfId="4" applyNumberFormat="1" applyFont="1" applyBorder="1"/>
    <xf numFmtId="166" fontId="0" fillId="0" borderId="1" xfId="3" applyNumberFormat="1" applyFont="1" applyBorder="1"/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10" fillId="2" borderId="1" xfId="0" applyFont="1" applyFill="1" applyBorder="1" applyAlignment="1">
      <alignment horizontal="center"/>
    </xf>
    <xf numFmtId="44" fontId="0" fillId="0" borderId="0" xfId="0" applyNumberFormat="1" applyFont="1" applyAlignment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164" fontId="0" fillId="4" borderId="1" xfId="4" applyFont="1" applyFill="1" applyBorder="1"/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4" fillId="0" borderId="3" xfId="0" applyFont="1" applyBorder="1" applyAlignment="1"/>
    <xf numFmtId="0" fontId="4" fillId="0" borderId="4" xfId="0" applyFont="1" applyBorder="1" applyAlignment="1">
      <alignment horizontal="left"/>
    </xf>
    <xf numFmtId="0" fontId="4" fillId="5" borderId="5" xfId="0" applyFont="1" applyFill="1" applyBorder="1" applyAlignment="1"/>
    <xf numFmtId="0" fontId="4" fillId="5" borderId="2" xfId="0" applyFont="1" applyFill="1" applyBorder="1" applyAlignment="1">
      <alignment horizontal="left"/>
    </xf>
    <xf numFmtId="0" fontId="4" fillId="0" borderId="5" xfId="0" applyFont="1" applyBorder="1" applyAlignment="1"/>
    <xf numFmtId="0" fontId="4" fillId="0" borderId="2" xfId="0" applyFont="1" applyBorder="1" applyAlignment="1">
      <alignment horizontal="left"/>
    </xf>
    <xf numFmtId="0" fontId="4" fillId="0" borderId="6" xfId="0" applyFont="1" applyBorder="1" applyAlignment="1"/>
    <xf numFmtId="0" fontId="4" fillId="0" borderId="7" xfId="0" applyFont="1" applyBorder="1" applyAlignment="1">
      <alignment horizontal="left"/>
    </xf>
    <xf numFmtId="0" fontId="3" fillId="0" borderId="4" xfId="0" applyFont="1" applyBorder="1" applyAlignment="1"/>
    <xf numFmtId="0" fontId="3" fillId="0" borderId="2" xfId="0" applyFont="1" applyBorder="1" applyAlignment="1"/>
    <xf numFmtId="0" fontId="3" fillId="5" borderId="2" xfId="0" applyFont="1" applyFill="1" applyBorder="1" applyAlignment="1"/>
    <xf numFmtId="0" fontId="3" fillId="0" borderId="7" xfId="0" applyFont="1" applyBorder="1" applyAlignment="1"/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</cellXfs>
  <cellStyles count="5">
    <cellStyle name="Moeda" xfId="4" builtinId="4"/>
    <cellStyle name="Normal" xfId="0" builtinId="0"/>
    <cellStyle name="Normal 2" xfId="1"/>
    <cellStyle name="Vírgula" xfId="3" builtinId="3"/>
    <cellStyle name="Vírgula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3</xdr:row>
      <xdr:rowOff>28575</xdr:rowOff>
    </xdr:from>
    <xdr:to>
      <xdr:col>9</xdr:col>
      <xdr:colOff>57150</xdr:colOff>
      <xdr:row>8</xdr:row>
      <xdr:rowOff>9525</xdr:rowOff>
    </xdr:to>
    <xdr:sp macro="[0]!CALCULO" textlink="">
      <xdr:nvSpPr>
        <xdr:cNvPr id="2" name="Retângulo 1"/>
        <xdr:cNvSpPr/>
      </xdr:nvSpPr>
      <xdr:spPr>
        <a:xfrm>
          <a:off x="6496050" y="2428875"/>
          <a:ext cx="1123950" cy="7905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</a:rPr>
            <a:t>Calculo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M7"/>
  <sheetViews>
    <sheetView zoomScale="145" zoomScaleNormal="145" workbookViewId="0">
      <selection activeCell="B11" sqref="B11"/>
    </sheetView>
  </sheetViews>
  <sheetFormatPr defaultRowHeight="12.75"/>
  <cols>
    <col min="2" max="2" width="14" customWidth="1"/>
  </cols>
  <sheetData>
    <row r="1" spans="1:13" ht="61.5" customHeight="1">
      <c r="A1" s="16" t="s">
        <v>4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</row>
    <row r="3" spans="1:13" ht="15">
      <c r="A3" s="30" t="s">
        <v>3</v>
      </c>
      <c r="B3" s="38" t="s">
        <v>5</v>
      </c>
    </row>
    <row r="4" spans="1:13" ht="15">
      <c r="A4" s="32" t="s">
        <v>10</v>
      </c>
      <c r="B4" s="40" t="s">
        <v>6</v>
      </c>
    </row>
    <row r="5" spans="1:13" ht="15">
      <c r="A5" s="34" t="s">
        <v>11</v>
      </c>
      <c r="B5" s="39" t="s">
        <v>7</v>
      </c>
    </row>
    <row r="6" spans="1:13" ht="15">
      <c r="A6" s="34" t="s">
        <v>12</v>
      </c>
      <c r="B6" s="39" t="s">
        <v>8</v>
      </c>
    </row>
    <row r="7" spans="1:13" ht="15">
      <c r="A7" s="36" t="s">
        <v>13</v>
      </c>
      <c r="B7" s="41" t="s">
        <v>9</v>
      </c>
    </row>
  </sheetData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00"/>
  <sheetViews>
    <sheetView tabSelected="1" workbookViewId="0">
      <selection activeCell="D6" sqref="D6"/>
    </sheetView>
  </sheetViews>
  <sheetFormatPr defaultRowHeight="12.75"/>
  <cols>
    <col min="2" max="2" width="40.28515625" customWidth="1"/>
  </cols>
  <sheetData>
    <row r="1" spans="1:11">
      <c r="K1" t="s">
        <v>83</v>
      </c>
    </row>
    <row r="2" spans="1:11" ht="163.5" customHeight="1">
      <c r="A2" s="18" t="s">
        <v>22</v>
      </c>
      <c r="B2" s="19"/>
      <c r="C2" s="19"/>
      <c r="D2" s="19"/>
      <c r="E2" s="19"/>
      <c r="F2" s="19"/>
      <c r="G2" s="19"/>
      <c r="H2" s="19"/>
      <c r="I2" s="19"/>
      <c r="J2" s="19"/>
      <c r="K2" t="s">
        <v>83</v>
      </c>
    </row>
    <row r="3" spans="1:11">
      <c r="A3" s="2"/>
      <c r="B3" s="2"/>
      <c r="C3" s="2"/>
      <c r="D3" s="2"/>
      <c r="E3" s="2"/>
      <c r="F3" s="2"/>
      <c r="G3" s="2"/>
      <c r="H3" s="2"/>
      <c r="I3" s="2"/>
      <c r="J3" s="2"/>
      <c r="K3" t="s">
        <v>83</v>
      </c>
    </row>
    <row r="4" spans="1:11">
      <c r="A4" s="30" t="s">
        <v>3</v>
      </c>
      <c r="B4" s="31" t="s">
        <v>20</v>
      </c>
      <c r="C4" s="2"/>
      <c r="D4" s="2"/>
      <c r="E4" s="2"/>
      <c r="F4" s="2"/>
      <c r="G4" s="2"/>
      <c r="H4" s="2"/>
      <c r="I4" s="2"/>
      <c r="J4" s="2"/>
      <c r="K4" t="s">
        <v>83</v>
      </c>
    </row>
    <row r="5" spans="1:11">
      <c r="A5" s="32" t="s">
        <v>10</v>
      </c>
      <c r="B5" s="33" t="s">
        <v>21</v>
      </c>
      <c r="C5" s="2"/>
      <c r="D5" s="2"/>
      <c r="E5" s="2"/>
      <c r="F5" s="2"/>
      <c r="G5" s="2"/>
      <c r="H5" s="2"/>
      <c r="I5" s="2"/>
      <c r="J5" s="2"/>
      <c r="K5" t="s">
        <v>83</v>
      </c>
    </row>
    <row r="6" spans="1:11">
      <c r="A6" s="34" t="s">
        <v>11</v>
      </c>
      <c r="B6" s="35" t="b">
        <v>1</v>
      </c>
      <c r="C6" s="2"/>
      <c r="D6" s="2"/>
      <c r="E6" s="2"/>
      <c r="F6" s="2"/>
      <c r="G6" s="2"/>
      <c r="H6" s="2"/>
      <c r="I6" s="2"/>
      <c r="J6" s="2"/>
      <c r="K6" t="s">
        <v>83</v>
      </c>
    </row>
    <row r="7" spans="1:11">
      <c r="A7" s="34" t="s">
        <v>12</v>
      </c>
      <c r="B7" s="35" t="s">
        <v>84</v>
      </c>
      <c r="C7" s="2"/>
      <c r="D7" s="2"/>
      <c r="E7" s="2"/>
      <c r="F7" s="2"/>
      <c r="G7" s="2"/>
      <c r="H7" s="2"/>
      <c r="I7" s="2"/>
      <c r="J7" s="2"/>
      <c r="K7" t="s">
        <v>83</v>
      </c>
    </row>
    <row r="8" spans="1:11">
      <c r="A8" s="36" t="s">
        <v>13</v>
      </c>
      <c r="B8" s="37" t="b">
        <v>0</v>
      </c>
      <c r="C8" s="2"/>
      <c r="D8" s="2"/>
      <c r="E8" s="2"/>
      <c r="F8" s="2"/>
      <c r="G8" s="2"/>
      <c r="H8" s="2"/>
      <c r="I8" s="2"/>
      <c r="J8" s="2"/>
      <c r="K8" t="s">
        <v>83</v>
      </c>
    </row>
    <row r="9" spans="1:11">
      <c r="A9" s="1"/>
      <c r="K9" t="s">
        <v>83</v>
      </c>
    </row>
    <row r="10" spans="1:11">
      <c r="K10" t="s">
        <v>83</v>
      </c>
    </row>
    <row r="11" spans="1:11">
      <c r="K11" t="s">
        <v>83</v>
      </c>
    </row>
    <row r="12" spans="1:11">
      <c r="K12" t="s">
        <v>83</v>
      </c>
    </row>
    <row r="13" spans="1:11">
      <c r="K13" t="s">
        <v>83</v>
      </c>
    </row>
    <row r="14" spans="1:11">
      <c r="K14" t="s">
        <v>83</v>
      </c>
    </row>
    <row r="15" spans="1:11">
      <c r="K15" t="s">
        <v>83</v>
      </c>
    </row>
    <row r="16" spans="1:11">
      <c r="K16" t="s">
        <v>83</v>
      </c>
    </row>
    <row r="17" spans="11:11">
      <c r="K17" t="s">
        <v>83</v>
      </c>
    </row>
    <row r="18" spans="11:11">
      <c r="K18" t="s">
        <v>83</v>
      </c>
    </row>
    <row r="19" spans="11:11">
      <c r="K19" t="s">
        <v>83</v>
      </c>
    </row>
    <row r="20" spans="11:11">
      <c r="K20" t="s">
        <v>83</v>
      </c>
    </row>
    <row r="21" spans="11:11">
      <c r="K21" t="s">
        <v>83</v>
      </c>
    </row>
    <row r="22" spans="11:11">
      <c r="K22" t="s">
        <v>83</v>
      </c>
    </row>
    <row r="23" spans="11:11">
      <c r="K23" t="s">
        <v>83</v>
      </c>
    </row>
    <row r="24" spans="11:11">
      <c r="K24" t="s">
        <v>83</v>
      </c>
    </row>
    <row r="25" spans="11:11">
      <c r="K25" t="s">
        <v>83</v>
      </c>
    </row>
    <row r="26" spans="11:11">
      <c r="K26" t="s">
        <v>83</v>
      </c>
    </row>
    <row r="27" spans="11:11">
      <c r="K27" t="s">
        <v>83</v>
      </c>
    </row>
    <row r="28" spans="11:11">
      <c r="K28" t="s">
        <v>83</v>
      </c>
    </row>
    <row r="29" spans="11:11">
      <c r="K29" t="s">
        <v>83</v>
      </c>
    </row>
    <row r="30" spans="11:11">
      <c r="K30" t="s">
        <v>83</v>
      </c>
    </row>
    <row r="31" spans="11:11">
      <c r="K31" t="s">
        <v>83</v>
      </c>
    </row>
    <row r="32" spans="11:11">
      <c r="K32" t="s">
        <v>83</v>
      </c>
    </row>
    <row r="33" spans="11:11">
      <c r="K33" t="s">
        <v>83</v>
      </c>
    </row>
    <row r="34" spans="11:11">
      <c r="K34" t="s">
        <v>83</v>
      </c>
    </row>
    <row r="35" spans="11:11">
      <c r="K35" t="s">
        <v>83</v>
      </c>
    </row>
    <row r="36" spans="11:11">
      <c r="K36" t="s">
        <v>83</v>
      </c>
    </row>
    <row r="37" spans="11:11">
      <c r="K37" t="s">
        <v>83</v>
      </c>
    </row>
    <row r="38" spans="11:11">
      <c r="K38" t="s">
        <v>83</v>
      </c>
    </row>
    <row r="39" spans="11:11">
      <c r="K39" t="s">
        <v>83</v>
      </c>
    </row>
    <row r="40" spans="11:11">
      <c r="K40" t="s">
        <v>83</v>
      </c>
    </row>
    <row r="41" spans="11:11">
      <c r="K41" t="s">
        <v>83</v>
      </c>
    </row>
    <row r="42" spans="11:11">
      <c r="K42" t="s">
        <v>83</v>
      </c>
    </row>
    <row r="43" spans="11:11">
      <c r="K43" t="s">
        <v>83</v>
      </c>
    </row>
    <row r="44" spans="11:11">
      <c r="K44" t="s">
        <v>83</v>
      </c>
    </row>
    <row r="45" spans="11:11">
      <c r="K45" t="s">
        <v>83</v>
      </c>
    </row>
    <row r="46" spans="11:11">
      <c r="K46" t="s">
        <v>83</v>
      </c>
    </row>
    <row r="47" spans="11:11">
      <c r="K47" t="s">
        <v>83</v>
      </c>
    </row>
    <row r="48" spans="11:11">
      <c r="K48" t="s">
        <v>83</v>
      </c>
    </row>
    <row r="49" spans="11:11">
      <c r="K49" t="s">
        <v>83</v>
      </c>
    </row>
    <row r="50" spans="11:11">
      <c r="K50" t="s">
        <v>83</v>
      </c>
    </row>
    <row r="51" spans="11:11">
      <c r="K51" t="s">
        <v>83</v>
      </c>
    </row>
    <row r="52" spans="11:11">
      <c r="K52" t="s">
        <v>83</v>
      </c>
    </row>
    <row r="53" spans="11:11">
      <c r="K53" t="s">
        <v>83</v>
      </c>
    </row>
    <row r="54" spans="11:11">
      <c r="K54" t="s">
        <v>83</v>
      </c>
    </row>
    <row r="55" spans="11:11">
      <c r="K55" t="s">
        <v>83</v>
      </c>
    </row>
    <row r="56" spans="11:11">
      <c r="K56" t="s">
        <v>83</v>
      </c>
    </row>
    <row r="57" spans="11:11">
      <c r="K57" t="s">
        <v>83</v>
      </c>
    </row>
    <row r="58" spans="11:11">
      <c r="K58" t="s">
        <v>83</v>
      </c>
    </row>
    <row r="59" spans="11:11">
      <c r="K59" t="s">
        <v>83</v>
      </c>
    </row>
    <row r="60" spans="11:11">
      <c r="K60" t="s">
        <v>83</v>
      </c>
    </row>
    <row r="61" spans="11:11">
      <c r="K61" t="s">
        <v>83</v>
      </c>
    </row>
    <row r="62" spans="11:11">
      <c r="K62" t="s">
        <v>83</v>
      </c>
    </row>
    <row r="63" spans="11:11">
      <c r="K63" t="s">
        <v>83</v>
      </c>
    </row>
    <row r="64" spans="11:11">
      <c r="K64" t="s">
        <v>83</v>
      </c>
    </row>
    <row r="65" spans="11:11">
      <c r="K65" t="s">
        <v>83</v>
      </c>
    </row>
    <row r="66" spans="11:11">
      <c r="K66" t="s">
        <v>83</v>
      </c>
    </row>
    <row r="67" spans="11:11">
      <c r="K67" t="s">
        <v>83</v>
      </c>
    </row>
    <row r="68" spans="11:11">
      <c r="K68" t="s">
        <v>83</v>
      </c>
    </row>
    <row r="69" spans="11:11">
      <c r="K69" t="s">
        <v>83</v>
      </c>
    </row>
    <row r="70" spans="11:11">
      <c r="K70" t="s">
        <v>83</v>
      </c>
    </row>
    <row r="71" spans="11:11">
      <c r="K71" t="s">
        <v>83</v>
      </c>
    </row>
    <row r="72" spans="11:11">
      <c r="K72" t="s">
        <v>83</v>
      </c>
    </row>
    <row r="73" spans="11:11">
      <c r="K73" t="s">
        <v>83</v>
      </c>
    </row>
    <row r="74" spans="11:11">
      <c r="K74" t="s">
        <v>83</v>
      </c>
    </row>
    <row r="75" spans="11:11">
      <c r="K75" t="s">
        <v>83</v>
      </c>
    </row>
    <row r="76" spans="11:11">
      <c r="K76" t="s">
        <v>83</v>
      </c>
    </row>
    <row r="77" spans="11:11">
      <c r="K77" t="s">
        <v>83</v>
      </c>
    </row>
    <row r="78" spans="11:11">
      <c r="K78" t="s">
        <v>83</v>
      </c>
    </row>
    <row r="79" spans="11:11">
      <c r="K79" t="s">
        <v>83</v>
      </c>
    </row>
    <row r="80" spans="11:11">
      <c r="K80" t="s">
        <v>83</v>
      </c>
    </row>
    <row r="81" spans="11:11">
      <c r="K81" t="s">
        <v>83</v>
      </c>
    </row>
    <row r="82" spans="11:11">
      <c r="K82" t="s">
        <v>83</v>
      </c>
    </row>
    <row r="83" spans="11:11">
      <c r="K83" t="s">
        <v>83</v>
      </c>
    </row>
    <row r="84" spans="11:11">
      <c r="K84" t="s">
        <v>83</v>
      </c>
    </row>
    <row r="85" spans="11:11">
      <c r="K85" t="s">
        <v>83</v>
      </c>
    </row>
    <row r="86" spans="11:11">
      <c r="K86" t="s">
        <v>83</v>
      </c>
    </row>
    <row r="87" spans="11:11">
      <c r="K87" t="s">
        <v>83</v>
      </c>
    </row>
    <row r="88" spans="11:11">
      <c r="K88" t="s">
        <v>83</v>
      </c>
    </row>
    <row r="89" spans="11:11">
      <c r="K89" t="s">
        <v>83</v>
      </c>
    </row>
    <row r="90" spans="11:11">
      <c r="K90" t="s">
        <v>83</v>
      </c>
    </row>
    <row r="91" spans="11:11">
      <c r="K91" t="s">
        <v>83</v>
      </c>
    </row>
    <row r="92" spans="11:11">
      <c r="K92" t="s">
        <v>83</v>
      </c>
    </row>
    <row r="93" spans="11:11">
      <c r="K93" t="s">
        <v>83</v>
      </c>
    </row>
    <row r="94" spans="11:11">
      <c r="K94" t="s">
        <v>83</v>
      </c>
    </row>
    <row r="95" spans="11:11">
      <c r="K95" t="s">
        <v>83</v>
      </c>
    </row>
    <row r="96" spans="11:11">
      <c r="K96" t="s">
        <v>83</v>
      </c>
    </row>
    <row r="97" spans="11:11">
      <c r="K97" t="s">
        <v>83</v>
      </c>
    </row>
    <row r="98" spans="11:11">
      <c r="K98" t="s">
        <v>83</v>
      </c>
    </row>
    <row r="99" spans="11:11">
      <c r="K99" t="s">
        <v>83</v>
      </c>
    </row>
    <row r="100" spans="11:11">
      <c r="K100" t="s">
        <v>83</v>
      </c>
    </row>
  </sheetData>
  <mergeCells count="1">
    <mergeCell ref="A2:J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7"/>
  <sheetViews>
    <sheetView workbookViewId="0">
      <selection activeCell="F22" sqref="F22"/>
    </sheetView>
  </sheetViews>
  <sheetFormatPr defaultRowHeight="12.75"/>
  <sheetData>
    <row r="1" spans="1:11" ht="15">
      <c r="A1" s="42" t="s">
        <v>19</v>
      </c>
      <c r="B1" s="43"/>
      <c r="C1" s="43"/>
      <c r="D1" s="43"/>
      <c r="E1" s="43"/>
      <c r="F1" s="43"/>
      <c r="G1" s="43"/>
      <c r="H1" s="43"/>
      <c r="I1" s="43"/>
      <c r="J1" s="43"/>
      <c r="K1" s="44"/>
    </row>
    <row r="2" spans="1:11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ht="15">
      <c r="A3" s="30" t="s">
        <v>3</v>
      </c>
      <c r="B3" s="38" t="s">
        <v>14</v>
      </c>
      <c r="C3" s="2"/>
      <c r="D3" s="2"/>
      <c r="E3" s="2"/>
      <c r="F3" s="2"/>
      <c r="G3" s="2"/>
      <c r="H3" s="2"/>
      <c r="I3" s="2"/>
      <c r="J3" s="2"/>
      <c r="K3" s="2"/>
    </row>
    <row r="4" spans="1:11" ht="15">
      <c r="A4" s="34" t="s">
        <v>10</v>
      </c>
      <c r="B4" s="39" t="s">
        <v>15</v>
      </c>
      <c r="C4" s="2"/>
      <c r="D4" s="2"/>
      <c r="E4" s="2"/>
      <c r="F4" s="2"/>
      <c r="G4" s="2"/>
      <c r="H4" s="2"/>
      <c r="I4" s="2"/>
      <c r="J4" s="2"/>
      <c r="K4" s="2"/>
    </row>
    <row r="5" spans="1:11" ht="15">
      <c r="A5" s="34" t="s">
        <v>11</v>
      </c>
      <c r="B5" s="39" t="s">
        <v>16</v>
      </c>
      <c r="C5" s="2"/>
      <c r="D5" s="2"/>
      <c r="E5" s="2"/>
      <c r="F5" s="2"/>
      <c r="G5" s="2"/>
      <c r="H5" s="2"/>
      <c r="I5" s="2"/>
      <c r="J5" s="2"/>
      <c r="K5" s="2"/>
    </row>
    <row r="6" spans="1:11" ht="15">
      <c r="A6" s="32" t="s">
        <v>12</v>
      </c>
      <c r="B6" s="40" t="s">
        <v>17</v>
      </c>
      <c r="C6" s="2"/>
      <c r="D6" s="2"/>
      <c r="E6" s="2"/>
      <c r="F6" s="2"/>
      <c r="G6" s="2"/>
      <c r="H6" s="2"/>
      <c r="I6" s="2"/>
      <c r="J6" s="2"/>
      <c r="K6" s="2"/>
    </row>
    <row r="7" spans="1:11" ht="15">
      <c r="A7" s="36" t="s">
        <v>13</v>
      </c>
      <c r="B7" s="41" t="s">
        <v>18</v>
      </c>
      <c r="C7" s="2"/>
      <c r="D7" s="2"/>
      <c r="E7" s="2"/>
      <c r="F7" s="2"/>
      <c r="G7" s="2"/>
      <c r="H7" s="2"/>
      <c r="I7" s="2"/>
      <c r="J7" s="2"/>
      <c r="K7" s="2"/>
    </row>
  </sheetData>
  <mergeCells count="1">
    <mergeCell ref="A1:K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H22"/>
  <sheetViews>
    <sheetView workbookViewId="0">
      <selection activeCell="I14" sqref="I14"/>
    </sheetView>
  </sheetViews>
  <sheetFormatPr defaultRowHeight="12.75"/>
  <cols>
    <col min="2" max="2" width="10" bestFit="1" customWidth="1"/>
    <col min="6" max="6" width="14.140625" bestFit="1" customWidth="1"/>
    <col min="7" max="7" width="32.28515625" customWidth="1"/>
    <col min="8" max="8" width="12.140625" bestFit="1" customWidth="1"/>
  </cols>
  <sheetData>
    <row r="1" spans="1:8">
      <c r="A1" s="3" t="s">
        <v>0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29</v>
      </c>
    </row>
    <row r="2" spans="1:8">
      <c r="A2" s="4" t="s">
        <v>30</v>
      </c>
      <c r="B2" s="4" t="s">
        <v>31</v>
      </c>
      <c r="C2" s="4" t="s">
        <v>1</v>
      </c>
      <c r="D2" s="4">
        <v>30</v>
      </c>
      <c r="E2" s="4" t="s">
        <v>32</v>
      </c>
      <c r="F2" s="4" t="s">
        <v>33</v>
      </c>
      <c r="G2" s="4" t="s">
        <v>34</v>
      </c>
      <c r="H2" s="4">
        <v>1200</v>
      </c>
    </row>
    <row r="3" spans="1:8">
      <c r="A3" s="4" t="s">
        <v>35</v>
      </c>
      <c r="B3" s="4" t="s">
        <v>36</v>
      </c>
      <c r="C3" s="4" t="s">
        <v>1</v>
      </c>
      <c r="D3" s="4">
        <v>25</v>
      </c>
      <c r="E3" s="4" t="s">
        <v>37</v>
      </c>
      <c r="F3" s="4" t="s">
        <v>38</v>
      </c>
      <c r="G3" s="4" t="s">
        <v>39</v>
      </c>
      <c r="H3" s="4">
        <v>1500</v>
      </c>
    </row>
    <row r="4" spans="1:8">
      <c r="A4" s="4" t="s">
        <v>40</v>
      </c>
      <c r="B4" s="4" t="s">
        <v>31</v>
      </c>
      <c r="C4" s="4" t="s">
        <v>2</v>
      </c>
      <c r="D4" s="4">
        <v>40</v>
      </c>
      <c r="E4" s="4" t="s">
        <v>32</v>
      </c>
      <c r="F4" s="4" t="s">
        <v>38</v>
      </c>
      <c r="G4" s="4" t="s">
        <v>41</v>
      </c>
      <c r="H4" s="4">
        <v>1200</v>
      </c>
    </row>
    <row r="5" spans="1:8">
      <c r="A5" s="4" t="s">
        <v>42</v>
      </c>
      <c r="B5" s="4" t="s">
        <v>36</v>
      </c>
      <c r="C5" s="4" t="s">
        <v>2</v>
      </c>
      <c r="D5" s="4">
        <v>50</v>
      </c>
      <c r="E5" s="4" t="s">
        <v>37</v>
      </c>
      <c r="F5" s="4" t="s">
        <v>38</v>
      </c>
      <c r="G5" s="4" t="s">
        <v>39</v>
      </c>
      <c r="H5" s="4">
        <v>1000</v>
      </c>
    </row>
    <row r="6" spans="1:8">
      <c r="A6" s="4" t="s">
        <v>43</v>
      </c>
      <c r="B6" s="4" t="s">
        <v>36</v>
      </c>
      <c r="C6" s="4" t="s">
        <v>2</v>
      </c>
      <c r="D6" s="4">
        <v>20</v>
      </c>
      <c r="E6" s="4" t="s">
        <v>32</v>
      </c>
      <c r="F6" s="4" t="s">
        <v>38</v>
      </c>
      <c r="G6" s="4" t="s">
        <v>44</v>
      </c>
      <c r="H6" s="4">
        <v>2000</v>
      </c>
    </row>
    <row r="7" spans="1:8">
      <c r="A7" s="4" t="s">
        <v>45</v>
      </c>
      <c r="B7" s="4" t="s">
        <v>36</v>
      </c>
      <c r="C7" s="4" t="s">
        <v>1</v>
      </c>
      <c r="D7" s="4">
        <v>25</v>
      </c>
      <c r="E7" s="4" t="s">
        <v>32</v>
      </c>
      <c r="F7" s="4" t="s">
        <v>33</v>
      </c>
      <c r="G7" s="4" t="s">
        <v>46</v>
      </c>
      <c r="H7" s="4">
        <v>1500</v>
      </c>
    </row>
    <row r="8" spans="1:8">
      <c r="A8" s="4" t="s">
        <v>47</v>
      </c>
      <c r="B8" s="4" t="s">
        <v>31</v>
      </c>
      <c r="C8" s="4" t="s">
        <v>1</v>
      </c>
      <c r="D8" s="4">
        <v>28</v>
      </c>
      <c r="E8" s="4" t="s">
        <v>32</v>
      </c>
      <c r="F8" s="4" t="s">
        <v>33</v>
      </c>
      <c r="G8" s="4" t="s">
        <v>39</v>
      </c>
      <c r="H8" s="4">
        <v>2500</v>
      </c>
    </row>
    <row r="9" spans="1:8">
      <c r="A9" s="4" t="s">
        <v>48</v>
      </c>
      <c r="B9" s="4" t="s">
        <v>49</v>
      </c>
      <c r="C9" s="4" t="s">
        <v>2</v>
      </c>
      <c r="D9" s="4">
        <v>20</v>
      </c>
      <c r="E9" s="4" t="s">
        <v>37</v>
      </c>
      <c r="F9" s="4" t="s">
        <v>38</v>
      </c>
      <c r="G9" s="4" t="s">
        <v>34</v>
      </c>
      <c r="H9" s="4">
        <v>1200</v>
      </c>
    </row>
    <row r="10" spans="1:8">
      <c r="A10" s="4" t="s">
        <v>50</v>
      </c>
      <c r="B10" s="4" t="s">
        <v>49</v>
      </c>
      <c r="C10" s="4" t="s">
        <v>2</v>
      </c>
      <c r="D10" s="4">
        <v>25</v>
      </c>
      <c r="E10" s="4" t="s">
        <v>37</v>
      </c>
      <c r="F10" s="4" t="s">
        <v>33</v>
      </c>
      <c r="G10" s="4" t="s">
        <v>34</v>
      </c>
      <c r="H10" s="4">
        <v>1500</v>
      </c>
    </row>
    <row r="11" spans="1:8">
      <c r="A11" s="4" t="s">
        <v>51</v>
      </c>
      <c r="B11" s="4" t="s">
        <v>36</v>
      </c>
      <c r="C11" s="4" t="s">
        <v>1</v>
      </c>
      <c r="D11" s="4">
        <v>30</v>
      </c>
      <c r="E11" s="4" t="s">
        <v>32</v>
      </c>
      <c r="F11" s="4" t="s">
        <v>38</v>
      </c>
      <c r="G11" s="4" t="s">
        <v>41</v>
      </c>
      <c r="H11" s="4">
        <v>3200</v>
      </c>
    </row>
    <row r="12" spans="1:8">
      <c r="A12" s="5"/>
      <c r="B12" s="5"/>
      <c r="C12" s="5"/>
      <c r="D12" s="5"/>
      <c r="E12" s="5"/>
      <c r="F12" s="5"/>
      <c r="G12" s="5"/>
      <c r="H12" s="5"/>
    </row>
    <row r="13" spans="1:8">
      <c r="A13" s="25" t="s">
        <v>52</v>
      </c>
      <c r="B13" s="26"/>
      <c r="C13" s="5"/>
      <c r="D13" s="5"/>
      <c r="E13" s="5"/>
      <c r="F13" s="5"/>
      <c r="G13" s="5"/>
      <c r="H13" s="5"/>
    </row>
    <row r="14" spans="1:8">
      <c r="A14" s="27"/>
      <c r="B14" s="28"/>
      <c r="C14" s="5"/>
      <c r="D14" s="5"/>
      <c r="E14" s="5"/>
      <c r="F14" s="5"/>
      <c r="G14" s="5"/>
      <c r="H14" s="5"/>
    </row>
    <row r="15" spans="1:8">
      <c r="A15" s="22" t="s">
        <v>53</v>
      </c>
      <c r="B15" s="22"/>
      <c r="C15" s="22"/>
      <c r="D15" s="22"/>
      <c r="E15" s="22"/>
      <c r="F15" s="22"/>
      <c r="G15" s="22"/>
      <c r="H15" s="29">
        <f>COUNTIFS(C2:C11,"F",B2:B11,"LAJEADO")</f>
        <v>3</v>
      </c>
    </row>
    <row r="16" spans="1:8">
      <c r="A16" s="22" t="s">
        <v>54</v>
      </c>
      <c r="B16" s="22"/>
      <c r="C16" s="22"/>
      <c r="D16" s="22"/>
      <c r="E16" s="22"/>
      <c r="F16" s="22"/>
      <c r="G16" s="22"/>
      <c r="H16" s="29">
        <f>COUNTIFS(C2:C11,"F",B2:B11,"LAJEADO",E2:E11,"UNIMED",F2:F11,"CASADO")</f>
        <v>1</v>
      </c>
    </row>
    <row r="17" spans="1:8">
      <c r="A17" s="22" t="s">
        <v>55</v>
      </c>
      <c r="B17" s="22"/>
      <c r="C17" s="22"/>
      <c r="D17" s="22"/>
      <c r="E17" s="22"/>
      <c r="F17" s="22"/>
      <c r="G17" s="22"/>
      <c r="H17" s="29">
        <f>COUNTIFS(F2:F11,"CASADO",C2:C11,"M",H2:H11,"&gt;1500")</f>
        <v>1</v>
      </c>
    </row>
    <row r="18" spans="1:8">
      <c r="A18" s="23"/>
      <c r="B18" s="23"/>
      <c r="C18" s="23"/>
      <c r="D18" s="23"/>
      <c r="E18" s="23"/>
      <c r="F18" s="23"/>
      <c r="G18" s="23"/>
      <c r="H18" s="23"/>
    </row>
    <row r="19" spans="1:8">
      <c r="A19" s="22" t="s">
        <v>56</v>
      </c>
      <c r="B19" s="22"/>
      <c r="C19" s="22"/>
      <c r="D19" s="22"/>
      <c r="E19" s="22"/>
      <c r="F19" s="22"/>
      <c r="G19" s="22"/>
      <c r="H19" s="24">
        <f>SUMIFS(H2:H11,C2:C11,"F",B2:B11,"LAJEADO")</f>
        <v>6200</v>
      </c>
    </row>
    <row r="20" spans="1:8">
      <c r="A20" s="22" t="s">
        <v>57</v>
      </c>
      <c r="B20" s="22"/>
      <c r="C20" s="22"/>
      <c r="D20" s="22"/>
      <c r="E20" s="22"/>
      <c r="F20" s="22"/>
      <c r="G20" s="22"/>
      <c r="H20" s="24">
        <f>SUMIFS(H2:H11,C2:C11,"F",B2:B11,"LAJEADO",E2:E11,"UNIMED",F2:F11,"CASADO")</f>
        <v>3200</v>
      </c>
    </row>
    <row r="21" spans="1:8">
      <c r="A21" s="23"/>
      <c r="B21" s="23"/>
      <c r="C21" s="23"/>
      <c r="D21" s="23"/>
      <c r="E21" s="23"/>
      <c r="F21" s="23"/>
      <c r="G21" s="23"/>
      <c r="H21" s="23"/>
    </row>
    <row r="22" spans="1:8">
      <c r="A22" s="22" t="s">
        <v>58</v>
      </c>
      <c r="B22" s="22"/>
      <c r="C22" s="22"/>
      <c r="D22" s="22"/>
      <c r="E22" s="22"/>
      <c r="F22" s="22"/>
      <c r="G22" s="22"/>
      <c r="H22" s="24">
        <f>AVERAGEIFS(H2:H11,C2:C11,"F",F2:F11,"CASADO")</f>
        <v>2350</v>
      </c>
    </row>
  </sheetData>
  <mergeCells count="9">
    <mergeCell ref="A13:B14"/>
    <mergeCell ref="A16:G16"/>
    <mergeCell ref="A15:G15"/>
    <mergeCell ref="A17:G17"/>
    <mergeCell ref="A19:G19"/>
    <mergeCell ref="A20:G20"/>
    <mergeCell ref="A22:G22"/>
    <mergeCell ref="A21:H21"/>
    <mergeCell ref="A18:H18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H29"/>
  <sheetViews>
    <sheetView workbookViewId="0">
      <selection activeCell="D19" sqref="D19"/>
    </sheetView>
  </sheetViews>
  <sheetFormatPr defaultRowHeight="12.75"/>
  <cols>
    <col min="1" max="1" width="12.7109375" customWidth="1"/>
    <col min="3" max="3" width="41.28515625" bestFit="1" customWidth="1"/>
    <col min="4" max="4" width="13.28515625" bestFit="1" customWidth="1"/>
    <col min="5" max="5" width="25.42578125" customWidth="1"/>
    <col min="6" max="6" width="12.140625" bestFit="1" customWidth="1"/>
    <col min="8" max="8" width="12.5703125" bestFit="1" customWidth="1"/>
  </cols>
  <sheetData>
    <row r="1" spans="1:8" ht="26.25">
      <c r="A1" s="20" t="s">
        <v>59</v>
      </c>
      <c r="B1" s="20"/>
      <c r="C1" s="20"/>
      <c r="D1" s="20"/>
      <c r="E1" s="20"/>
      <c r="F1" s="20"/>
    </row>
    <row r="2" spans="1:8">
      <c r="A2" s="5"/>
      <c r="B2" s="5"/>
      <c r="C2" s="5"/>
      <c r="D2" s="6"/>
      <c r="E2" s="7"/>
      <c r="F2" s="7"/>
    </row>
    <row r="3" spans="1:8">
      <c r="A3" s="8" t="s">
        <v>60</v>
      </c>
      <c r="B3" s="8" t="s">
        <v>61</v>
      </c>
      <c r="C3" s="8" t="s">
        <v>62</v>
      </c>
      <c r="D3" s="9" t="s">
        <v>63</v>
      </c>
      <c r="E3" s="10" t="s">
        <v>64</v>
      </c>
      <c r="F3" s="10" t="s">
        <v>65</v>
      </c>
    </row>
    <row r="4" spans="1:8">
      <c r="A4" s="4" t="s">
        <v>66</v>
      </c>
      <c r="B4" s="4" t="s">
        <v>67</v>
      </c>
      <c r="C4" s="4" t="s">
        <v>68</v>
      </c>
      <c r="D4" s="11">
        <v>23</v>
      </c>
      <c r="E4" s="12">
        <v>230</v>
      </c>
      <c r="F4" s="12">
        <f>E4*D4</f>
        <v>5290</v>
      </c>
      <c r="H4" s="21"/>
    </row>
    <row r="5" spans="1:8">
      <c r="A5" s="4" t="s">
        <v>66</v>
      </c>
      <c r="B5" s="4" t="s">
        <v>67</v>
      </c>
      <c r="C5" s="4" t="s">
        <v>69</v>
      </c>
      <c r="D5" s="11">
        <v>128</v>
      </c>
      <c r="E5" s="12">
        <v>23.8</v>
      </c>
      <c r="F5" s="12">
        <f t="shared" ref="F5:F17" si="0">E5*D5</f>
        <v>3046.4</v>
      </c>
    </row>
    <row r="6" spans="1:8">
      <c r="A6" s="4" t="s">
        <v>70</v>
      </c>
      <c r="B6" s="4" t="s">
        <v>67</v>
      </c>
      <c r="C6" s="4" t="s">
        <v>68</v>
      </c>
      <c r="D6" s="11">
        <v>34</v>
      </c>
      <c r="E6" s="12">
        <v>247</v>
      </c>
      <c r="F6" s="12">
        <f t="shared" si="0"/>
        <v>8398</v>
      </c>
    </row>
    <row r="7" spans="1:8">
      <c r="A7" s="4" t="s">
        <v>66</v>
      </c>
      <c r="B7" s="4" t="s">
        <v>67</v>
      </c>
      <c r="C7" s="4" t="s">
        <v>71</v>
      </c>
      <c r="D7" s="11">
        <v>21</v>
      </c>
      <c r="E7" s="12">
        <v>299</v>
      </c>
      <c r="F7" s="12">
        <f t="shared" si="0"/>
        <v>6279</v>
      </c>
    </row>
    <row r="8" spans="1:8">
      <c r="A8" s="4" t="s">
        <v>70</v>
      </c>
      <c r="B8" s="4" t="s">
        <v>67</v>
      </c>
      <c r="C8" s="4" t="s">
        <v>71</v>
      </c>
      <c r="D8" s="11">
        <v>12</v>
      </c>
      <c r="E8" s="12">
        <v>250</v>
      </c>
      <c r="F8" s="12">
        <f t="shared" si="0"/>
        <v>3000</v>
      </c>
    </row>
    <row r="9" spans="1:8">
      <c r="A9" s="4" t="s">
        <v>66</v>
      </c>
      <c r="B9" s="4" t="s">
        <v>72</v>
      </c>
      <c r="C9" s="4" t="s">
        <v>68</v>
      </c>
      <c r="D9" s="11">
        <v>14</v>
      </c>
      <c r="E9" s="12">
        <v>220</v>
      </c>
      <c r="F9" s="12">
        <f t="shared" si="0"/>
        <v>3080</v>
      </c>
    </row>
    <row r="10" spans="1:8">
      <c r="A10" s="4" t="s">
        <v>70</v>
      </c>
      <c r="B10" s="4" t="s">
        <v>72</v>
      </c>
      <c r="C10" s="4" t="s">
        <v>68</v>
      </c>
      <c r="D10" s="11">
        <v>15</v>
      </c>
      <c r="E10" s="12">
        <v>210</v>
      </c>
      <c r="F10" s="12">
        <f t="shared" si="0"/>
        <v>3150</v>
      </c>
    </row>
    <row r="11" spans="1:8">
      <c r="A11" s="4" t="s">
        <v>66</v>
      </c>
      <c r="B11" s="4" t="s">
        <v>72</v>
      </c>
      <c r="C11" s="4" t="s">
        <v>69</v>
      </c>
      <c r="D11" s="11">
        <v>89</v>
      </c>
      <c r="E11" s="12">
        <v>25</v>
      </c>
      <c r="F11" s="12">
        <f t="shared" si="0"/>
        <v>2225</v>
      </c>
    </row>
    <row r="12" spans="1:8">
      <c r="A12" s="4" t="s">
        <v>66</v>
      </c>
      <c r="B12" s="4" t="s">
        <v>72</v>
      </c>
      <c r="C12" s="4" t="s">
        <v>71</v>
      </c>
      <c r="D12" s="11">
        <v>10</v>
      </c>
      <c r="E12" s="12">
        <v>250</v>
      </c>
      <c r="F12" s="12">
        <f t="shared" si="0"/>
        <v>2500</v>
      </c>
    </row>
    <row r="13" spans="1:8">
      <c r="A13" s="4" t="s">
        <v>70</v>
      </c>
      <c r="B13" s="4" t="s">
        <v>72</v>
      </c>
      <c r="C13" s="4" t="s">
        <v>69</v>
      </c>
      <c r="D13" s="11">
        <v>45</v>
      </c>
      <c r="E13" s="12">
        <v>20</v>
      </c>
      <c r="F13" s="12">
        <f t="shared" si="0"/>
        <v>900</v>
      </c>
    </row>
    <row r="14" spans="1:8">
      <c r="A14" s="4" t="s">
        <v>70</v>
      </c>
      <c r="B14" s="4" t="s">
        <v>73</v>
      </c>
      <c r="C14" s="4" t="s">
        <v>68</v>
      </c>
      <c r="D14" s="11">
        <v>12</v>
      </c>
      <c r="E14" s="12">
        <v>220</v>
      </c>
      <c r="F14" s="12">
        <f t="shared" si="0"/>
        <v>2640</v>
      </c>
    </row>
    <row r="15" spans="1:8">
      <c r="A15" s="4" t="s">
        <v>66</v>
      </c>
      <c r="B15" s="4" t="s">
        <v>73</v>
      </c>
      <c r="C15" s="4" t="s">
        <v>68</v>
      </c>
      <c r="D15" s="11">
        <v>13</v>
      </c>
      <c r="E15" s="12">
        <v>230</v>
      </c>
      <c r="F15" s="12">
        <f t="shared" si="0"/>
        <v>2990</v>
      </c>
    </row>
    <row r="16" spans="1:8">
      <c r="A16" s="4" t="s">
        <v>66</v>
      </c>
      <c r="B16" s="4" t="s">
        <v>73</v>
      </c>
      <c r="C16" s="4" t="s">
        <v>69</v>
      </c>
      <c r="D16" s="11">
        <v>90</v>
      </c>
      <c r="E16" s="12">
        <v>20</v>
      </c>
      <c r="F16" s="12">
        <f t="shared" si="0"/>
        <v>1800</v>
      </c>
    </row>
    <row r="17" spans="1:6">
      <c r="A17" s="4" t="s">
        <v>70</v>
      </c>
      <c r="B17" s="4" t="s">
        <v>73</v>
      </c>
      <c r="C17" s="4" t="s">
        <v>71</v>
      </c>
      <c r="D17" s="11">
        <v>5</v>
      </c>
      <c r="E17" s="12">
        <v>299</v>
      </c>
      <c r="F17" s="12">
        <f t="shared" si="0"/>
        <v>1495</v>
      </c>
    </row>
    <row r="18" spans="1:6">
      <c r="A18" s="5"/>
      <c r="B18" s="5"/>
      <c r="C18" s="5"/>
      <c r="D18" s="6"/>
      <c r="E18" s="7"/>
      <c r="F18" s="7"/>
    </row>
    <row r="19" spans="1:6" ht="15">
      <c r="A19" s="5"/>
      <c r="B19" s="5"/>
      <c r="C19" s="13" t="s">
        <v>74</v>
      </c>
      <c r="D19" s="14">
        <f>SUM(D4:D17)</f>
        <v>511</v>
      </c>
      <c r="E19" s="7"/>
      <c r="F19" s="7"/>
    </row>
    <row r="20" spans="1:6" ht="15">
      <c r="A20" s="5"/>
      <c r="B20" s="5"/>
      <c r="C20" s="13" t="s">
        <v>75</v>
      </c>
      <c r="D20" s="12">
        <f>SUM(F4:F17)</f>
        <v>46793.4</v>
      </c>
      <c r="E20" s="7"/>
      <c r="F20" s="7"/>
    </row>
    <row r="21" spans="1:6" ht="15">
      <c r="A21" s="5"/>
      <c r="B21" s="5"/>
      <c r="C21" s="13" t="s">
        <v>76</v>
      </c>
      <c r="D21" s="12">
        <f>SUMIF(A4:A17,"Vila Mariana",F4:F17)</f>
        <v>27210.400000000001</v>
      </c>
      <c r="E21" s="7"/>
      <c r="F21" s="7"/>
    </row>
    <row r="22" spans="1:6" ht="15">
      <c r="A22" s="5"/>
      <c r="B22" s="5"/>
      <c r="C22" s="13" t="s">
        <v>77</v>
      </c>
      <c r="D22" s="12">
        <f>SUMIF(A4:A17,"Brooklin",F4:F17)</f>
        <v>19583</v>
      </c>
      <c r="E22" s="7"/>
      <c r="F22" s="7"/>
    </row>
    <row r="23" spans="1:6" ht="15">
      <c r="A23" s="5"/>
      <c r="B23" s="5"/>
      <c r="C23" s="13" t="s">
        <v>78</v>
      </c>
      <c r="D23" s="12">
        <f>SUMIF(B4:B17,"Janeiro",F4:F17)</f>
        <v>26013.4</v>
      </c>
      <c r="E23" s="7"/>
      <c r="F23" s="7"/>
    </row>
    <row r="24" spans="1:6" ht="15">
      <c r="A24" s="5"/>
      <c r="B24" s="5"/>
      <c r="C24" s="13" t="s">
        <v>79</v>
      </c>
      <c r="D24" s="12">
        <f>SUMIF(B4:B17,"Fevereiro",F4:F17)</f>
        <v>11855</v>
      </c>
      <c r="E24" s="7"/>
      <c r="F24" s="7"/>
    </row>
    <row r="25" spans="1:6" ht="15">
      <c r="A25" s="5"/>
      <c r="B25" s="5"/>
      <c r="C25" s="13" t="s">
        <v>80</v>
      </c>
      <c r="D25" s="12">
        <f>SUMIF(B4:B17,"Março",F4:F17)</f>
        <v>8925</v>
      </c>
      <c r="E25" s="7"/>
      <c r="F25" s="7"/>
    </row>
    <row r="26" spans="1:6" ht="15">
      <c r="A26" s="5"/>
      <c r="B26" s="5"/>
      <c r="C26" s="13" t="s">
        <v>81</v>
      </c>
      <c r="D26" s="12">
        <f>SUMIFS(F4:F17,A4:A17,"Vila Mariana",B4:B17,"Fevereiro")</f>
        <v>7805</v>
      </c>
      <c r="E26" s="7"/>
      <c r="F26" s="7"/>
    </row>
    <row r="27" spans="1:6" ht="15">
      <c r="A27" s="5"/>
      <c r="B27" s="5"/>
      <c r="C27" s="13" t="s">
        <v>82</v>
      </c>
      <c r="D27" s="15">
        <f>SUMIFS(F4:F17,A4:A17,"Brooklin",B4:B17,"Janeiro")</f>
        <v>11398</v>
      </c>
      <c r="E27" s="7"/>
      <c r="F27" s="7"/>
    </row>
    <row r="28" spans="1:6">
      <c r="A28" s="5"/>
      <c r="B28" s="5"/>
      <c r="C28" s="5"/>
      <c r="D28" s="5"/>
      <c r="E28" s="5"/>
      <c r="F28" s="5"/>
    </row>
    <row r="29" spans="1:6">
      <c r="A29" s="5"/>
      <c r="B29" s="5"/>
      <c r="C29" s="5"/>
      <c r="D29" s="5"/>
      <c r="E29" s="5"/>
      <c r="F29" s="5"/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Questão 03 - 1</vt:lpstr>
      <vt:lpstr>Questão 04 - 2</vt:lpstr>
      <vt:lpstr>Questão 05 - 1 ponto</vt:lpstr>
      <vt:lpstr>Q 01 - 3 pontos</vt:lpstr>
      <vt:lpstr>Q 02 - 3 pontos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</dc:creator>
  <cp:lastModifiedBy>senaij04</cp:lastModifiedBy>
  <dcterms:created xsi:type="dcterms:W3CDTF">2014-05-03T14:20:19Z</dcterms:created>
  <dcterms:modified xsi:type="dcterms:W3CDTF">2022-03-22T13:34:22Z</dcterms:modified>
</cp:coreProperties>
</file>